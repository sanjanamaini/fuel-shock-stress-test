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UnitEconomics" sheetId="3" state="visible" r:id="rId3"/>
    <sheet name="ShockEngine" sheetId="4" state="visible" r:id="rId4"/>
    <sheet name="SurvivalGri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%"/>
    <numFmt numFmtId="166" formatCode="0.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808080"/>
      <sz val="9"/>
    </font>
    <font>
      <b val="1"/>
      <sz val="12"/>
    </font>
    <font>
      <b val="1"/>
      <color rgb="00FFFFFF"/>
    </font>
    <font/>
  </fonts>
  <fills count="4">
    <fill>
      <patternFill/>
    </fill>
    <fill>
      <patternFill patternType="gray125"/>
    </fill>
    <fill>
      <patternFill patternType="solid">
        <fgColor rgb="001F3B4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3" fillId="0" borderId="1" pivotButton="0" quotePrefix="0" xfId="0"/>
    <xf numFmtId="164" fontId="0" fillId="0" borderId="1" pivotButton="0" quotePrefix="0" xfId="0"/>
    <xf numFmtId="0" fontId="6" fillId="0" borderId="1" pivotButton="0" quotePrefix="0" xfId="0"/>
    <xf numFmtId="0" fontId="2" fillId="0" borderId="1" pivotButton="0" quotePrefix="0" xfId="0"/>
    <xf numFmtId="165" fontId="0" fillId="0" borderId="1" pivotButton="0" quotePrefix="0" xfId="0"/>
    <xf numFmtId="9" fontId="0" fillId="3" borderId="1" pivotButton="0" quotePrefix="0" xfId="0"/>
    <xf numFmtId="1" fontId="0" fillId="3" borderId="1" pivotButton="0" quotePrefix="0" xfId="0"/>
    <xf numFmtId="3" fontId="0" fillId="0" borderId="1" pivotButton="0" quotePrefix="0" xfId="0"/>
    <xf numFmtId="166" fontId="0" fillId="0" borderId="1" pivotButton="0" quotePrefix="0" xfId="0"/>
    <xf numFmtId="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Fuel Shock Stress Test: unit economics and shock engine</t>
        </is>
      </c>
    </row>
    <row r="2">
      <c r="A2" t="inlineStr"/>
    </row>
    <row r="3">
      <c r="A3" t="inlineStr">
        <is>
          <t>Question: what happens to a trucking operator's margin and cash position when crude oil spikes,</t>
        </is>
      </c>
    </row>
    <row r="4">
      <c r="A4" t="inlineStr">
        <is>
          <t>and what price increase restores profitability?</t>
        </is>
      </c>
    </row>
    <row r="5">
      <c r="A5" t="inlineStr"/>
    </row>
    <row r="6">
      <c r="A6" s="2" t="inlineStr">
        <is>
          <t>Sheets:</t>
        </is>
      </c>
    </row>
    <row r="7">
      <c r="A7" t="inlineStr">
        <is>
          <t xml:space="preserve">  Inputs: per-country baseline assumptions. ALL VALUES ARE v0 ESTIMATES pending calibration.</t>
        </is>
      </c>
    </row>
    <row r="8">
      <c r="A8" t="inlineStr">
        <is>
          <t xml:space="preserve">  UnitEconomics: per-km cost stack, baseline EBIT margin, fuel share of revenue (live formulas).</t>
        </is>
      </c>
    </row>
    <row r="9">
      <c r="A9" t="inlineStr">
        <is>
          <t xml:space="preserve">  ShockEngine: single-scenario stress test with adjustable shock, duration, pass-through, lag.</t>
        </is>
      </c>
    </row>
    <row r="10">
      <c r="A10" t="inlineStr">
        <is>
          <t xml:space="preserve">  SurvivalGrid: margin outcome across shock magnitude x duration for a selected country.</t>
        </is>
      </c>
    </row>
    <row r="11">
      <c r="A11" t="inlineStr"/>
    </row>
    <row r="12">
      <c r="A12" t="inlineStr">
        <is>
          <t>Yellow cells are user inputs. Everything else is calculated.</t>
        </is>
      </c>
    </row>
    <row r="13">
      <c r="A13" s="3" t="inlineStr">
        <is>
          <t>Generated by excel/build_model.py. Safe to edit in Excel; regenerate to reset.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70" customWidth="1" min="8" max="8"/>
  </cols>
  <sheetData>
    <row r="1">
      <c r="A1" s="4" t="inlineStr">
        <is>
          <t>Baseline assumptions per country (v0 estimates, to be calibrated)</t>
        </is>
      </c>
    </row>
    <row r="3">
      <c r="A3" s="5" t="inlineStr">
        <is>
          <t>Parameter</t>
        </is>
      </c>
      <c r="B3" s="5" t="inlineStr">
        <is>
          <t>Unit</t>
        </is>
      </c>
      <c r="C3" s="5" t="inlineStr">
        <is>
          <t>US</t>
        </is>
      </c>
      <c r="D3" s="5" t="inlineStr">
        <is>
          <t>India</t>
        </is>
      </c>
      <c r="E3" s="5" t="inlineStr">
        <is>
          <t>China</t>
        </is>
      </c>
      <c r="F3" s="5" t="inlineStr">
        <is>
          <t>Germany</t>
        </is>
      </c>
      <c r="G3" s="5" t="inlineStr">
        <is>
          <t>Brazil</t>
        </is>
      </c>
      <c r="H3" s="5" t="inlineStr">
        <is>
          <t>Source / calibration plan</t>
        </is>
      </c>
    </row>
    <row r="4">
      <c r="A4" s="6" t="inlineStr">
        <is>
          <t>Diesel pump price</t>
        </is>
      </c>
      <c r="B4" s="6" t="inlineStr">
        <is>
          <t>USD per liter</t>
        </is>
      </c>
      <c r="C4" s="7" t="n">
        <v>0.95</v>
      </c>
      <c r="D4" s="7" t="n">
        <v>1.08</v>
      </c>
      <c r="E4" s="7" t="n">
        <v>1.05</v>
      </c>
      <c r="F4" s="7" t="n">
        <v>1.8</v>
      </c>
      <c r="G4" s="7" t="n">
        <v>1.1</v>
      </c>
      <c r="H4" s="8" t="inlineStr">
        <is>
          <t>v0 estimate. Calibrate: EIA (US), PPAC (India), NDRC (China), Eurostat (Germany), ANP (Brazil)</t>
        </is>
      </c>
    </row>
    <row r="5">
      <c r="A5" s="6" t="inlineStr">
        <is>
          <t>Crude-to-pump beta</t>
        </is>
      </c>
      <c r="B5" s="6" t="inlineStr">
        <is>
          <t>pct of crude move passed to pump</t>
        </is>
      </c>
      <c r="C5" s="7" t="n">
        <v>0.9</v>
      </c>
      <c r="D5" s="7" t="n">
        <v>0.5</v>
      </c>
      <c r="E5" s="7" t="n">
        <v>0.6</v>
      </c>
      <c r="F5" s="7" t="n">
        <v>0.45</v>
      </c>
      <c r="G5" s="7" t="n">
        <v>0.65</v>
      </c>
      <c r="H5" s="8" t="inlineStr">
        <is>
          <t>v0 estimate of tax wedge. Calibrate by regressing pump on crude, 2015 to 2025</t>
        </is>
      </c>
    </row>
    <row r="6">
      <c r="A6" s="6" t="inlineStr">
        <is>
          <t>Fuel efficiency</t>
        </is>
      </c>
      <c r="B6" s="6" t="inlineStr">
        <is>
          <t>km per liter</t>
        </is>
      </c>
      <c r="C6" s="7" t="n">
        <v>2.8</v>
      </c>
      <c r="D6" s="7" t="n">
        <v>4</v>
      </c>
      <c r="E6" s="7" t="n">
        <v>3</v>
      </c>
      <c r="F6" s="7" t="n">
        <v>3</v>
      </c>
      <c r="G6" s="7" t="n">
        <v>2.9</v>
      </c>
      <c r="H6" s="8" t="inlineStr">
        <is>
          <t>v0 estimate. US class 8 approx 6.5 mpg; lighter fleet mix in India</t>
        </is>
      </c>
    </row>
    <row r="7">
      <c r="A7" s="6" t="inlineStr">
        <is>
          <t>Annual distance</t>
        </is>
      </c>
      <c r="B7" s="6" t="inlineStr">
        <is>
          <t>km per truck per year</t>
        </is>
      </c>
      <c r="C7" s="7" t="n">
        <v>160000</v>
      </c>
      <c r="D7" s="7" t="n">
        <v>100000</v>
      </c>
      <c r="E7" s="7" t="n">
        <v>120000</v>
      </c>
      <c r="F7" s="7" t="n">
        <v>130000</v>
      </c>
      <c r="G7" s="7" t="n">
        <v>110000</v>
      </c>
      <c r="H7" s="8" t="inlineStr">
        <is>
          <t>v0 estimate. Industry utilization benchmarks</t>
        </is>
      </c>
    </row>
    <row r="8">
      <c r="A8" s="6" t="inlineStr">
        <is>
          <t>Driver wage incl employer costs</t>
        </is>
      </c>
      <c r="B8" s="6" t="inlineStr">
        <is>
          <t>USD per month</t>
        </is>
      </c>
      <c r="C8" s="7" t="n">
        <v>5000</v>
      </c>
      <c r="D8" s="7" t="n">
        <v>380</v>
      </c>
      <c r="E8" s="7" t="n">
        <v>1250</v>
      </c>
      <c r="F8" s="7" t="n">
        <v>4400</v>
      </c>
      <c r="G8" s="7" t="n">
        <v>700</v>
      </c>
      <c r="H8" s="8" t="inlineStr">
        <is>
          <t>v0 estimate. Calibrate: BLS OES (US), Eurostat (DE, incl social charges), industry reports (IN, CN, BR)</t>
        </is>
      </c>
    </row>
    <row r="9">
      <c r="A9" s="6" t="inlineStr">
        <is>
          <t>Drivers per truck</t>
        </is>
      </c>
      <c r="B9" s="6" t="inlineStr">
        <is>
          <t>ratio</t>
        </is>
      </c>
      <c r="C9" s="7" t="n">
        <v>1.1</v>
      </c>
      <c r="D9" s="7" t="n">
        <v>1.2</v>
      </c>
      <c r="E9" s="7" t="n">
        <v>1.1</v>
      </c>
      <c r="F9" s="7" t="n">
        <v>1.1</v>
      </c>
      <c r="G9" s="7" t="n">
        <v>1.1</v>
      </c>
      <c r="H9" s="8" t="inlineStr">
        <is>
          <t>v0 estimate, accounts for relief drivers and turnover</t>
        </is>
      </c>
    </row>
    <row r="10">
      <c r="A10" s="6" t="inlineStr">
        <is>
          <t>Maintenance and tires</t>
        </is>
      </c>
      <c r="B10" s="6" t="inlineStr">
        <is>
          <t>USD per km</t>
        </is>
      </c>
      <c r="C10" s="7" t="n">
        <v>0.12</v>
      </c>
      <c r="D10" s="7" t="n">
        <v>0.05</v>
      </c>
      <c r="E10" s="7" t="n">
        <v>0.07000000000000001</v>
      </c>
      <c r="F10" s="7" t="n">
        <v>0.11</v>
      </c>
      <c r="G10" s="7" t="n">
        <v>0.07000000000000001</v>
      </c>
      <c r="H10" s="8" t="inlineStr">
        <is>
          <t>v0 estimate. ATRI ops cost survey (US) as anchor</t>
        </is>
      </c>
    </row>
    <row r="11">
      <c r="A11" s="6" t="inlineStr">
        <is>
          <t>Tolls and fees</t>
        </is>
      </c>
      <c r="B11" s="6" t="inlineStr">
        <is>
          <t>USD per km</t>
        </is>
      </c>
      <c r="C11" s="7" t="n">
        <v>0.04</v>
      </c>
      <c r="D11" s="7" t="n">
        <v>0.03</v>
      </c>
      <c r="E11" s="7" t="n">
        <v>0.1</v>
      </c>
      <c r="F11" s="7" t="n">
        <v>0.15</v>
      </c>
      <c r="G11" s="7" t="n">
        <v>0.04</v>
      </c>
      <c r="H11" s="8" t="inlineStr">
        <is>
          <t>v0 estimate. Germany Maut and China expressway tolls are major cost lines</t>
        </is>
      </c>
    </row>
    <row r="12">
      <c r="A12" s="6" t="inlineStr">
        <is>
          <t>Insurance and permits</t>
        </is>
      </c>
      <c r="B12" s="6" t="inlineStr">
        <is>
          <t>USD per truck per year</t>
        </is>
      </c>
      <c r="C12" s="7" t="n">
        <v>12000</v>
      </c>
      <c r="D12" s="7" t="n">
        <v>2500</v>
      </c>
      <c r="E12" s="7" t="n">
        <v>4000</v>
      </c>
      <c r="F12" s="7" t="n">
        <v>9000</v>
      </c>
      <c r="G12" s="7" t="n">
        <v>3500</v>
      </c>
      <c r="H12" s="8" t="inlineStr">
        <is>
          <t>v0 estimate</t>
        </is>
      </c>
    </row>
    <row r="13">
      <c r="A13" s="6" t="inlineStr">
        <is>
          <t>Financing and depreciation</t>
        </is>
      </c>
      <c r="B13" s="6" t="inlineStr">
        <is>
          <t>USD per truck per year</t>
        </is>
      </c>
      <c r="C13" s="7" t="n">
        <v>28000</v>
      </c>
      <c r="D13" s="7" t="n">
        <v>6000</v>
      </c>
      <c r="E13" s="7" t="n">
        <v>10000</v>
      </c>
      <c r="F13" s="7" t="n">
        <v>24000</v>
      </c>
      <c r="G13" s="7" t="n">
        <v>11000</v>
      </c>
      <c r="H13" s="8" t="inlineStr">
        <is>
          <t>v0 estimate. New tractor cost amortized approx 7 years; cheaper vehicles in IN, CN</t>
        </is>
      </c>
    </row>
    <row r="14">
      <c r="A14" s="6" t="inlineStr">
        <is>
          <t>Overhead share of revenue</t>
        </is>
      </c>
      <c r="B14" s="6" t="inlineStr">
        <is>
          <t>pct</t>
        </is>
      </c>
      <c r="C14" s="7" t="n">
        <v>0.08</v>
      </c>
      <c r="D14" s="7" t="n">
        <v>0.07000000000000001</v>
      </c>
      <c r="E14" s="7" t="n">
        <v>0.07000000000000001</v>
      </c>
      <c r="F14" s="7" t="n">
        <v>0.08</v>
      </c>
      <c r="G14" s="7" t="n">
        <v>0.08</v>
      </c>
      <c r="H14" s="8" t="inlineStr">
        <is>
          <t>v0 estimate: admin, dispatch, facilities</t>
        </is>
      </c>
    </row>
    <row r="15">
      <c r="A15" s="6" t="inlineStr">
        <is>
          <t>Revenue per km</t>
        </is>
      </c>
      <c r="B15" s="6" t="inlineStr">
        <is>
          <t>USD per km</t>
        </is>
      </c>
      <c r="C15" s="7" t="n">
        <v>1.4</v>
      </c>
      <c r="D15" s="7" t="n">
        <v>0.58</v>
      </c>
      <c r="E15" s="7" t="n">
        <v>0.9</v>
      </c>
      <c r="F15" s="7" t="n">
        <v>1.85</v>
      </c>
      <c r="G15" s="7" t="n">
        <v>0.82</v>
      </c>
      <c r="H15" s="8" t="inlineStr">
        <is>
          <t>v0 estimate calibrated so baseline margins land in the realistic 4 to 9 pct trucking band</t>
        </is>
      </c>
    </row>
    <row r="16">
      <c r="A16" s="6" t="inlineStr">
        <is>
          <t>Cash buffer</t>
        </is>
      </c>
      <c r="B16" s="6" t="inlineStr">
        <is>
          <t>months of operating cost</t>
        </is>
      </c>
      <c r="C16" s="7" t="n">
        <v>2.5</v>
      </c>
      <c r="D16" s="7" t="n">
        <v>1.5</v>
      </c>
      <c r="E16" s="7" t="n">
        <v>2</v>
      </c>
      <c r="F16" s="7" t="n">
        <v>3</v>
      </c>
      <c r="G16" s="7" t="n">
        <v>1.5</v>
      </c>
      <c r="H16" s="8" t="inlineStr">
        <is>
          <t>v0 estimate by market maturity. Calibrate from CIQ cash and cost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Per-km unit economics (all formulas reference Inputs)</t>
        </is>
      </c>
    </row>
    <row r="3">
      <c r="A3" s="5" t="inlineStr">
        <is>
          <t>Line item (USD per km)</t>
        </is>
      </c>
      <c r="B3" s="5" t="inlineStr">
        <is>
          <t>US</t>
        </is>
      </c>
      <c r="C3" s="5" t="inlineStr">
        <is>
          <t>India</t>
        </is>
      </c>
      <c r="D3" s="5" t="inlineStr">
        <is>
          <t>China</t>
        </is>
      </c>
      <c r="E3" s="5" t="inlineStr">
        <is>
          <t>Germany</t>
        </is>
      </c>
      <c r="F3" s="5" t="inlineStr">
        <is>
          <t>Brazil</t>
        </is>
      </c>
    </row>
    <row r="4">
      <c r="A4" s="6" t="inlineStr">
        <is>
          <t>Fuel</t>
        </is>
      </c>
      <c r="B4" s="9">
        <f>Inputs!C4/Inputs!C6</f>
        <v/>
      </c>
      <c r="C4" s="9">
        <f>Inputs!D4/Inputs!D6</f>
        <v/>
      </c>
      <c r="D4" s="9">
        <f>Inputs!E4/Inputs!E6</f>
        <v/>
      </c>
      <c r="E4" s="9">
        <f>Inputs!F4/Inputs!F6</f>
        <v/>
      </c>
      <c r="F4" s="9">
        <f>Inputs!G4/Inputs!G6</f>
        <v/>
      </c>
    </row>
    <row r="5">
      <c r="A5" s="6" t="inlineStr">
        <is>
          <t>Driver wages</t>
        </is>
      </c>
      <c r="B5" s="9">
        <f>Inputs!C8*12*Inputs!C9/Inputs!C7</f>
        <v/>
      </c>
      <c r="C5" s="9">
        <f>Inputs!D8*12*Inputs!D9/Inputs!D7</f>
        <v/>
      </c>
      <c r="D5" s="9">
        <f>Inputs!E8*12*Inputs!E9/Inputs!E7</f>
        <v/>
      </c>
      <c r="E5" s="9">
        <f>Inputs!F8*12*Inputs!F9/Inputs!F7</f>
        <v/>
      </c>
      <c r="F5" s="9">
        <f>Inputs!G8*12*Inputs!G9/Inputs!G7</f>
        <v/>
      </c>
    </row>
    <row r="6">
      <c r="A6" s="6" t="inlineStr">
        <is>
          <t>Maintenance and tires</t>
        </is>
      </c>
      <c r="B6" s="9">
        <f>Inputs!C10</f>
        <v/>
      </c>
      <c r="C6" s="9">
        <f>Inputs!D10</f>
        <v/>
      </c>
      <c r="D6" s="9">
        <f>Inputs!E10</f>
        <v/>
      </c>
      <c r="E6" s="9">
        <f>Inputs!F10</f>
        <v/>
      </c>
      <c r="F6" s="9">
        <f>Inputs!G10</f>
        <v/>
      </c>
    </row>
    <row r="7">
      <c r="A7" s="6" t="inlineStr">
        <is>
          <t>Tolls and fees</t>
        </is>
      </c>
      <c r="B7" s="9">
        <f>Inputs!C11</f>
        <v/>
      </c>
      <c r="C7" s="9">
        <f>Inputs!D11</f>
        <v/>
      </c>
      <c r="D7" s="9">
        <f>Inputs!E11</f>
        <v/>
      </c>
      <c r="E7" s="9">
        <f>Inputs!F11</f>
        <v/>
      </c>
      <c r="F7" s="9">
        <f>Inputs!G11</f>
        <v/>
      </c>
    </row>
    <row r="8">
      <c r="A8" s="6" t="inlineStr">
        <is>
          <t>Insurance and permits</t>
        </is>
      </c>
      <c r="B8" s="9">
        <f>Inputs!C12/Inputs!C7</f>
        <v/>
      </c>
      <c r="C8" s="9">
        <f>Inputs!D12/Inputs!D7</f>
        <v/>
      </c>
      <c r="D8" s="9">
        <f>Inputs!E12/Inputs!E7</f>
        <v/>
      </c>
      <c r="E8" s="9">
        <f>Inputs!F12/Inputs!F7</f>
        <v/>
      </c>
      <c r="F8" s="9">
        <f>Inputs!G12/Inputs!G7</f>
        <v/>
      </c>
    </row>
    <row r="9">
      <c r="A9" s="6" t="inlineStr">
        <is>
          <t>Financing and depreciation</t>
        </is>
      </c>
      <c r="B9" s="9">
        <f>Inputs!C13/Inputs!C7</f>
        <v/>
      </c>
      <c r="C9" s="9">
        <f>Inputs!D13/Inputs!D7</f>
        <v/>
      </c>
      <c r="D9" s="9">
        <f>Inputs!E13/Inputs!E7</f>
        <v/>
      </c>
      <c r="E9" s="9">
        <f>Inputs!F13/Inputs!F7</f>
        <v/>
      </c>
      <c r="F9" s="9">
        <f>Inputs!G13/Inputs!G7</f>
        <v/>
      </c>
    </row>
    <row r="10">
      <c r="A10" s="6" t="inlineStr">
        <is>
          <t>Overhead</t>
        </is>
      </c>
      <c r="B10" s="9">
        <f>Inputs!C14*Inputs!C15</f>
        <v/>
      </c>
      <c r="C10" s="9">
        <f>Inputs!D14*Inputs!D15</f>
        <v/>
      </c>
      <c r="D10" s="9">
        <f>Inputs!E14*Inputs!E15</f>
        <v/>
      </c>
      <c r="E10" s="9">
        <f>Inputs!F14*Inputs!F15</f>
        <v/>
      </c>
      <c r="F10" s="9">
        <f>Inputs!G14*Inputs!G15</f>
        <v/>
      </c>
    </row>
    <row r="11">
      <c r="A11" s="10" t="inlineStr">
        <is>
          <t>Total cost per km</t>
        </is>
      </c>
      <c r="B11" s="9">
        <f>SUM(B4:B10)</f>
        <v/>
      </c>
      <c r="C11" s="9">
        <f>SUM(C4:C10)</f>
        <v/>
      </c>
      <c r="D11" s="9">
        <f>SUM(D4:D10)</f>
        <v/>
      </c>
      <c r="E11" s="9">
        <f>SUM(E4:E10)</f>
        <v/>
      </c>
      <c r="F11" s="9">
        <f>SUM(F4:F10)</f>
        <v/>
      </c>
    </row>
    <row r="12">
      <c r="A12" s="10" t="inlineStr">
        <is>
          <t>Revenue per km</t>
        </is>
      </c>
      <c r="B12" s="9">
        <f>Inputs!C15</f>
        <v/>
      </c>
      <c r="C12" s="9">
        <f>Inputs!D15</f>
        <v/>
      </c>
      <c r="D12" s="9">
        <f>Inputs!E15</f>
        <v/>
      </c>
      <c r="E12" s="9">
        <f>Inputs!F15</f>
        <v/>
      </c>
      <c r="F12" s="9">
        <f>Inputs!G15</f>
        <v/>
      </c>
    </row>
    <row r="13">
      <c r="A13" s="10" t="inlineStr">
        <is>
          <t>EBIT per km</t>
        </is>
      </c>
      <c r="B13" s="9">
        <f>B12-B11</f>
        <v/>
      </c>
      <c r="C13" s="9">
        <f>C12-C11</f>
        <v/>
      </c>
      <c r="D13" s="9">
        <f>D12-D11</f>
        <v/>
      </c>
      <c r="E13" s="9">
        <f>E12-E11</f>
        <v/>
      </c>
      <c r="F13" s="9">
        <f>F12-F11</f>
        <v/>
      </c>
    </row>
    <row r="14">
      <c r="A14" s="11" t="inlineStr">
        <is>
          <t>EBIT margin</t>
        </is>
      </c>
      <c r="B14" s="12">
        <f>B13/B12</f>
        <v/>
      </c>
      <c r="C14" s="12">
        <f>C13/C12</f>
        <v/>
      </c>
      <c r="D14" s="12">
        <f>D13/D12</f>
        <v/>
      </c>
      <c r="E14" s="12">
        <f>E13/E12</f>
        <v/>
      </c>
      <c r="F14" s="12">
        <f>F13/F12</f>
        <v/>
      </c>
    </row>
    <row r="15">
      <c r="A15" s="11" t="inlineStr">
        <is>
          <t>Fuel share of revenue</t>
        </is>
      </c>
      <c r="B15" s="12">
        <f>B4/B12</f>
        <v/>
      </c>
      <c r="C15" s="12">
        <f>C4/C12</f>
        <v/>
      </c>
      <c r="D15" s="12">
        <f>D4/D12</f>
        <v/>
      </c>
      <c r="E15" s="12">
        <f>E4/E12</f>
        <v/>
      </c>
      <c r="F15" s="12">
        <f>F4/F12</f>
        <v/>
      </c>
    </row>
    <row r="16">
      <c r="A16" s="10" t="inlineStr">
        <is>
          <t>Fuel share of total cost</t>
        </is>
      </c>
      <c r="B16" s="12">
        <f>B4/B11</f>
        <v/>
      </c>
      <c r="C16" s="12">
        <f>C4/C11</f>
        <v/>
      </c>
      <c r="D16" s="12">
        <f>D4/D11</f>
        <v/>
      </c>
      <c r="E16" s="12">
        <f>E4/E11</f>
        <v/>
      </c>
      <c r="F16" s="12">
        <f>F4/F11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4" t="inlineStr">
        <is>
          <t>Shock scenario engine (yellow = your levers)</t>
        </is>
      </c>
    </row>
    <row r="3">
      <c r="A3" s="2" t="inlineStr">
        <is>
          <t>Crude shock</t>
        </is>
      </c>
      <c r="B3" s="13" t="n">
        <v>0.5</v>
      </c>
      <c r="C3" s="3" t="inlineStr">
        <is>
          <t>pct increase in crude, e.g. 0.5 = +50%</t>
        </is>
      </c>
    </row>
    <row r="4">
      <c r="A4" s="2" t="inlineStr">
        <is>
          <t>Duration</t>
        </is>
      </c>
      <c r="B4" s="14" t="n">
        <v>6</v>
      </c>
      <c r="C4" s="3" t="inlineStr">
        <is>
          <t>months the spike lasts</t>
        </is>
      </c>
    </row>
    <row r="5">
      <c r="A5" s="2" t="inlineStr">
        <is>
          <t>Pass-through</t>
        </is>
      </c>
      <c r="B5" s="13" t="n">
        <v>0.5</v>
      </c>
      <c r="C5" s="3" t="inlineStr">
        <is>
          <t>share of fuel increase recovered via surcharge, steady state</t>
        </is>
      </c>
    </row>
    <row r="6">
      <c r="A6" s="2" t="inlineStr">
        <is>
          <t>Surcharge lag</t>
        </is>
      </c>
      <c r="B6" s="14" t="n">
        <v>2</v>
      </c>
      <c r="C6" s="3" t="inlineStr">
        <is>
          <t>months before surcharges kick in</t>
        </is>
      </c>
    </row>
    <row r="8">
      <c r="A8" s="5" t="inlineStr">
        <is>
          <t>Metric</t>
        </is>
      </c>
      <c r="B8" s="5" t="inlineStr">
        <is>
          <t>US</t>
        </is>
      </c>
      <c r="C8" s="5" t="inlineStr">
        <is>
          <t>India</t>
        </is>
      </c>
      <c r="D8" s="5" t="inlineStr">
        <is>
          <t>China</t>
        </is>
      </c>
      <c r="E8" s="5" t="inlineStr">
        <is>
          <t>Germany</t>
        </is>
      </c>
      <c r="F8" s="5" t="inlineStr">
        <is>
          <t>Brazil</t>
        </is>
      </c>
    </row>
    <row r="9">
      <c r="A9" s="6" t="inlineStr">
        <is>
          <t>Pump price shock</t>
        </is>
      </c>
      <c r="B9" s="12">
        <f>$B$3*Inputs!C5</f>
        <v/>
      </c>
      <c r="C9" s="12">
        <f>$B$3*Inputs!D5</f>
        <v/>
      </c>
      <c r="D9" s="12">
        <f>$B$3*Inputs!E5</f>
        <v/>
      </c>
      <c r="E9" s="12">
        <f>$B$3*Inputs!F5</f>
        <v/>
      </c>
      <c r="F9" s="12">
        <f>$B$3*Inputs!G5</f>
        <v/>
      </c>
    </row>
    <row r="10">
      <c r="A10" s="6" t="inlineStr">
        <is>
          <t>Effective pass-through</t>
        </is>
      </c>
      <c r="B10" s="12">
        <f>$B$5*MAX(0,($B$4-$B$6)/$B$4)</f>
        <v/>
      </c>
      <c r="C10" s="12">
        <f>$B$5*MAX(0,($B$4-$B$6)/$B$4)</f>
        <v/>
      </c>
      <c r="D10" s="12">
        <f>$B$5*MAX(0,($B$4-$B$6)/$B$4)</f>
        <v/>
      </c>
      <c r="E10" s="12">
        <f>$B$5*MAX(0,($B$4-$B$6)/$B$4)</f>
        <v/>
      </c>
      <c r="F10" s="12">
        <f>$B$5*MAX(0,($B$4-$B$6)/$B$4)</f>
        <v/>
      </c>
    </row>
    <row r="11">
      <c r="A11" s="6" t="inlineStr">
        <is>
          <t>Margin hit (pp of revenue)</t>
        </is>
      </c>
      <c r="B11" s="12">
        <f>UnitEconomics!B15*B9*(1-B10)</f>
        <v/>
      </c>
      <c r="C11" s="12">
        <f>UnitEconomics!C15*C9*(1-C10)</f>
        <v/>
      </c>
      <c r="D11" s="12">
        <f>UnitEconomics!D15*D9*(1-D10)</f>
        <v/>
      </c>
      <c r="E11" s="12">
        <f>UnitEconomics!E15*E9*(1-E10)</f>
        <v/>
      </c>
      <c r="F11" s="12">
        <f>UnitEconomics!F15*F9*(1-F10)</f>
        <v/>
      </c>
    </row>
    <row r="12">
      <c r="A12" s="6" t="inlineStr">
        <is>
          <t>Shocked EBIT margin</t>
        </is>
      </c>
      <c r="B12" s="12">
        <f>UnitEconomics!B14-B11</f>
        <v/>
      </c>
      <c r="C12" s="12">
        <f>UnitEconomics!C14-C11</f>
        <v/>
      </c>
      <c r="D12" s="12">
        <f>UnitEconomics!D14-D11</f>
        <v/>
      </c>
      <c r="E12" s="12">
        <f>UnitEconomics!E14-E11</f>
        <v/>
      </c>
      <c r="F12" s="12">
        <f>UnitEconomics!F14-F11</f>
        <v/>
      </c>
    </row>
    <row r="13">
      <c r="A13" s="6" t="inlineStr">
        <is>
          <t>Monthly burn if negative (USD/truck)</t>
        </is>
      </c>
      <c r="B13" s="15">
        <f>MAX(0,-B12)*Inputs!C15*Inputs!C7/12</f>
        <v/>
      </c>
      <c r="C13" s="15">
        <f>MAX(0,-C12)*Inputs!D15*Inputs!D7/12</f>
        <v/>
      </c>
      <c r="D13" s="15">
        <f>MAX(0,-D12)*Inputs!E15*Inputs!E7/12</f>
        <v/>
      </c>
      <c r="E13" s="15">
        <f>MAX(0,-E12)*Inputs!F15*Inputs!F7/12</f>
        <v/>
      </c>
      <c r="F13" s="15">
        <f>MAX(0,-F12)*Inputs!G15*Inputs!G7/12</f>
        <v/>
      </c>
    </row>
    <row r="14">
      <c r="A14" s="6" t="inlineStr">
        <is>
          <t>Cash available (USD/truck)</t>
        </is>
      </c>
      <c r="B14" s="15">
        <f>Inputs!C16*UnitEconomics!B11*Inputs!C7/12</f>
        <v/>
      </c>
      <c r="C14" s="15">
        <f>Inputs!D16*UnitEconomics!C11*Inputs!D7/12</f>
        <v/>
      </c>
      <c r="D14" s="15">
        <f>Inputs!E16*UnitEconomics!D11*Inputs!E7/12</f>
        <v/>
      </c>
      <c r="E14" s="15">
        <f>Inputs!F16*UnitEconomics!E11*Inputs!F7/12</f>
        <v/>
      </c>
      <c r="F14" s="15">
        <f>Inputs!G16*UnitEconomics!F11*Inputs!G7/12</f>
        <v/>
      </c>
    </row>
    <row r="15">
      <c r="A15" s="6" t="inlineStr">
        <is>
          <t>Months to cash breach</t>
        </is>
      </c>
      <c r="B15" s="16">
        <f>IF(B12&gt;=0,"survives",IF(B13=0,"survives",B14/B13))</f>
        <v/>
      </c>
      <c r="C15" s="16">
        <f>IF(C12&gt;=0,"survives",IF(C13=0,"survives",C14/C13))</f>
        <v/>
      </c>
      <c r="D15" s="16">
        <f>IF(D12&gt;=0,"survives",IF(D13=0,"survives",D14/D13))</f>
        <v/>
      </c>
      <c r="E15" s="16">
        <f>IF(E12&gt;=0,"survives",IF(E13=0,"survives",E14/E13))</f>
        <v/>
      </c>
      <c r="F15" s="16">
        <f>IF(F12&gt;=0,"survives",IF(F13=0,"survives",F14/F13))</f>
        <v/>
      </c>
    </row>
    <row r="16">
      <c r="A16" s="6" t="inlineStr">
        <is>
          <t>Price increase to restore margin</t>
        </is>
      </c>
      <c r="B16" s="12">
        <f>B11</f>
        <v/>
      </c>
      <c r="C16" s="12">
        <f>C11</f>
        <v/>
      </c>
      <c r="D16" s="12">
        <f>D11</f>
        <v/>
      </c>
      <c r="E16" s="12">
        <f>E11</f>
        <v/>
      </c>
      <c r="F16" s="12">
        <f>F11</f>
        <v/>
      </c>
    </row>
    <row r="18">
      <c r="A18" s="3" t="inlineStr">
        <is>
          <t>Note: price increase to restore margin equals the unrecovered fuel hit as a share of revenue; assumes volumes hold, which is the next refinement (demand elasticity).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4" t="inlineStr">
        <is>
          <t>Shocked EBIT margin: crude shock magnitude x duration</t>
        </is>
      </c>
    </row>
    <row r="3">
      <c r="A3" s="2" t="inlineStr">
        <is>
          <t>Country (1=US 2=India 3=China 4=Germany 5=Brazil)</t>
        </is>
      </c>
      <c r="F3" s="7" t="n">
        <v>1</v>
      </c>
    </row>
    <row r="4">
      <c r="A4" s="2" t="inlineStr">
        <is>
          <t>Pass-through</t>
        </is>
      </c>
      <c r="F4" s="13" t="n">
        <v>0.5</v>
      </c>
    </row>
    <row r="5">
      <c r="A5" s="2" t="inlineStr">
        <is>
          <t>Surcharge lag (months)</t>
        </is>
      </c>
      <c r="F5" s="7" t="n">
        <v>2</v>
      </c>
    </row>
    <row r="7">
      <c r="A7" s="5" t="inlineStr">
        <is>
          <t>Crude shock \ Duration (months)</t>
        </is>
      </c>
      <c r="B7" s="5" t="n">
        <v>3</v>
      </c>
      <c r="C7" s="5" t="n">
        <v>6</v>
      </c>
      <c r="D7" s="5" t="n">
        <v>9</v>
      </c>
      <c r="E7" s="5" t="n">
        <v>12</v>
      </c>
    </row>
    <row r="8">
      <c r="A8" s="17" t="n">
        <v>0.1</v>
      </c>
      <c r="B8" s="12">
        <f>INDEX(UnitEconomics!$B$14:$F$14,$F$3)-INDEX(UnitEconomics!$B$15:$F$15,$F$3)*$A8*INDEX(Inputs!$C$5:$G$5,$F$3)*(1-$F$4*MAX(0,(B$7-$F$5)/B$7))</f>
        <v/>
      </c>
      <c r="C8" s="12">
        <f>INDEX(UnitEconomics!$B$14:$F$14,$F$3)-INDEX(UnitEconomics!$B$15:$F$15,$F$3)*$A8*INDEX(Inputs!$C$5:$G$5,$F$3)*(1-$F$4*MAX(0,(C$7-$F$5)/C$7))</f>
        <v/>
      </c>
      <c r="D8" s="12">
        <f>INDEX(UnitEconomics!$B$14:$F$14,$F$3)-INDEX(UnitEconomics!$B$15:$F$15,$F$3)*$A8*INDEX(Inputs!$C$5:$G$5,$F$3)*(1-$F$4*MAX(0,(D$7-$F$5)/D$7))</f>
        <v/>
      </c>
      <c r="E8" s="12">
        <f>INDEX(UnitEconomics!$B$14:$F$14,$F$3)-INDEX(UnitEconomics!$B$15:$F$15,$F$3)*$A8*INDEX(Inputs!$C$5:$G$5,$F$3)*(1-$F$4*MAX(0,(E$7-$F$5)/E$7))</f>
        <v/>
      </c>
    </row>
    <row r="9">
      <c r="A9" s="17" t="n">
        <v>0.2</v>
      </c>
      <c r="B9" s="12">
        <f>INDEX(UnitEconomics!$B$14:$F$14,$F$3)-INDEX(UnitEconomics!$B$15:$F$15,$F$3)*$A9*INDEX(Inputs!$C$5:$G$5,$F$3)*(1-$F$4*MAX(0,(B$7-$F$5)/B$7))</f>
        <v/>
      </c>
      <c r="C9" s="12">
        <f>INDEX(UnitEconomics!$B$14:$F$14,$F$3)-INDEX(UnitEconomics!$B$15:$F$15,$F$3)*$A9*INDEX(Inputs!$C$5:$G$5,$F$3)*(1-$F$4*MAX(0,(C$7-$F$5)/C$7))</f>
        <v/>
      </c>
      <c r="D9" s="12">
        <f>INDEX(UnitEconomics!$B$14:$F$14,$F$3)-INDEX(UnitEconomics!$B$15:$F$15,$F$3)*$A9*INDEX(Inputs!$C$5:$G$5,$F$3)*(1-$F$4*MAX(0,(D$7-$F$5)/D$7))</f>
        <v/>
      </c>
      <c r="E9" s="12">
        <f>INDEX(UnitEconomics!$B$14:$F$14,$F$3)-INDEX(UnitEconomics!$B$15:$F$15,$F$3)*$A9*INDEX(Inputs!$C$5:$G$5,$F$3)*(1-$F$4*MAX(0,(E$7-$F$5)/E$7))</f>
        <v/>
      </c>
    </row>
    <row r="10">
      <c r="A10" s="17" t="n">
        <v>0.3</v>
      </c>
      <c r="B10" s="12">
        <f>INDEX(UnitEconomics!$B$14:$F$14,$F$3)-INDEX(UnitEconomics!$B$15:$F$15,$F$3)*$A10*INDEX(Inputs!$C$5:$G$5,$F$3)*(1-$F$4*MAX(0,(B$7-$F$5)/B$7))</f>
        <v/>
      </c>
      <c r="C10" s="12">
        <f>INDEX(UnitEconomics!$B$14:$F$14,$F$3)-INDEX(UnitEconomics!$B$15:$F$15,$F$3)*$A10*INDEX(Inputs!$C$5:$G$5,$F$3)*(1-$F$4*MAX(0,(C$7-$F$5)/C$7))</f>
        <v/>
      </c>
      <c r="D10" s="12">
        <f>INDEX(UnitEconomics!$B$14:$F$14,$F$3)-INDEX(UnitEconomics!$B$15:$F$15,$F$3)*$A10*INDEX(Inputs!$C$5:$G$5,$F$3)*(1-$F$4*MAX(0,(D$7-$F$5)/D$7))</f>
        <v/>
      </c>
      <c r="E10" s="12">
        <f>INDEX(UnitEconomics!$B$14:$F$14,$F$3)-INDEX(UnitEconomics!$B$15:$F$15,$F$3)*$A10*INDEX(Inputs!$C$5:$G$5,$F$3)*(1-$F$4*MAX(0,(E$7-$F$5)/E$7))</f>
        <v/>
      </c>
    </row>
    <row r="11">
      <c r="A11" s="17" t="n">
        <v>0.4</v>
      </c>
      <c r="B11" s="12">
        <f>INDEX(UnitEconomics!$B$14:$F$14,$F$3)-INDEX(UnitEconomics!$B$15:$F$15,$F$3)*$A11*INDEX(Inputs!$C$5:$G$5,$F$3)*(1-$F$4*MAX(0,(B$7-$F$5)/B$7))</f>
        <v/>
      </c>
      <c r="C11" s="12">
        <f>INDEX(UnitEconomics!$B$14:$F$14,$F$3)-INDEX(UnitEconomics!$B$15:$F$15,$F$3)*$A11*INDEX(Inputs!$C$5:$G$5,$F$3)*(1-$F$4*MAX(0,(C$7-$F$5)/C$7))</f>
        <v/>
      </c>
      <c r="D11" s="12">
        <f>INDEX(UnitEconomics!$B$14:$F$14,$F$3)-INDEX(UnitEconomics!$B$15:$F$15,$F$3)*$A11*INDEX(Inputs!$C$5:$G$5,$F$3)*(1-$F$4*MAX(0,(D$7-$F$5)/D$7))</f>
        <v/>
      </c>
      <c r="E11" s="12">
        <f>INDEX(UnitEconomics!$B$14:$F$14,$F$3)-INDEX(UnitEconomics!$B$15:$F$15,$F$3)*$A11*INDEX(Inputs!$C$5:$G$5,$F$3)*(1-$F$4*MAX(0,(E$7-$F$5)/E$7))</f>
        <v/>
      </c>
    </row>
    <row r="12">
      <c r="A12" s="17" t="n">
        <v>0.5</v>
      </c>
      <c r="B12" s="12">
        <f>INDEX(UnitEconomics!$B$14:$F$14,$F$3)-INDEX(UnitEconomics!$B$15:$F$15,$F$3)*$A12*INDEX(Inputs!$C$5:$G$5,$F$3)*(1-$F$4*MAX(0,(B$7-$F$5)/B$7))</f>
        <v/>
      </c>
      <c r="C12" s="12">
        <f>INDEX(UnitEconomics!$B$14:$F$14,$F$3)-INDEX(UnitEconomics!$B$15:$F$15,$F$3)*$A12*INDEX(Inputs!$C$5:$G$5,$F$3)*(1-$F$4*MAX(0,(C$7-$F$5)/C$7))</f>
        <v/>
      </c>
      <c r="D12" s="12">
        <f>INDEX(UnitEconomics!$B$14:$F$14,$F$3)-INDEX(UnitEconomics!$B$15:$F$15,$F$3)*$A12*INDEX(Inputs!$C$5:$G$5,$F$3)*(1-$F$4*MAX(0,(D$7-$F$5)/D$7))</f>
        <v/>
      </c>
      <c r="E12" s="12">
        <f>INDEX(UnitEconomics!$B$14:$F$14,$F$3)-INDEX(UnitEconomics!$B$15:$F$15,$F$3)*$A12*INDEX(Inputs!$C$5:$G$5,$F$3)*(1-$F$4*MAX(0,(E$7-$F$5)/E$7))</f>
        <v/>
      </c>
    </row>
    <row r="13">
      <c r="A13" s="17" t="n">
        <v>0.75</v>
      </c>
      <c r="B13" s="12">
        <f>INDEX(UnitEconomics!$B$14:$F$14,$F$3)-INDEX(UnitEconomics!$B$15:$F$15,$F$3)*$A13*INDEX(Inputs!$C$5:$G$5,$F$3)*(1-$F$4*MAX(0,(B$7-$F$5)/B$7))</f>
        <v/>
      </c>
      <c r="C13" s="12">
        <f>INDEX(UnitEconomics!$B$14:$F$14,$F$3)-INDEX(UnitEconomics!$B$15:$F$15,$F$3)*$A13*INDEX(Inputs!$C$5:$G$5,$F$3)*(1-$F$4*MAX(0,(C$7-$F$5)/C$7))</f>
        <v/>
      </c>
      <c r="D13" s="12">
        <f>INDEX(UnitEconomics!$B$14:$F$14,$F$3)-INDEX(UnitEconomics!$B$15:$F$15,$F$3)*$A13*INDEX(Inputs!$C$5:$G$5,$F$3)*(1-$F$4*MAX(0,(D$7-$F$5)/D$7))</f>
        <v/>
      </c>
      <c r="E13" s="12">
        <f>INDEX(UnitEconomics!$B$14:$F$14,$F$3)-INDEX(UnitEconomics!$B$15:$F$15,$F$3)*$A13*INDEX(Inputs!$C$5:$G$5,$F$3)*(1-$F$4*MAX(0,(E$7-$F$5)/E$7))</f>
        <v/>
      </c>
    </row>
    <row r="14">
      <c r="A14" s="17" t="n">
        <v>1</v>
      </c>
      <c r="B14" s="12">
        <f>INDEX(UnitEconomics!$B$14:$F$14,$F$3)-INDEX(UnitEconomics!$B$15:$F$15,$F$3)*$A14*INDEX(Inputs!$C$5:$G$5,$F$3)*(1-$F$4*MAX(0,(B$7-$F$5)/B$7))</f>
        <v/>
      </c>
      <c r="C14" s="12">
        <f>INDEX(UnitEconomics!$B$14:$F$14,$F$3)-INDEX(UnitEconomics!$B$15:$F$15,$F$3)*$A14*INDEX(Inputs!$C$5:$G$5,$F$3)*(1-$F$4*MAX(0,(C$7-$F$5)/C$7))</f>
        <v/>
      </c>
      <c r="D14" s="12">
        <f>INDEX(UnitEconomics!$B$14:$F$14,$F$3)-INDEX(UnitEconomics!$B$15:$F$15,$F$3)*$A14*INDEX(Inputs!$C$5:$G$5,$F$3)*(1-$F$4*MAX(0,(D$7-$F$5)/D$7))</f>
        <v/>
      </c>
      <c r="E14" s="12">
        <f>INDEX(UnitEconomics!$B$14:$F$14,$F$3)-INDEX(UnitEconomics!$B$15:$F$15,$F$3)*$A14*INDEX(Inputs!$C$5:$G$5,$F$3)*(1-$F$4*MAX(0,(E$7-$F$5)/E$7))</f>
        <v/>
      </c>
    </row>
    <row r="16">
      <c r="A16" s="3" t="inlineStr">
        <is>
          <t>Red: margin below zero (burning cash). Amber: near breakeven. Green: profitable.</t>
        </is>
      </c>
    </row>
  </sheetData>
  <conditionalFormatting sqref="B8:E14">
    <cfRule type="colorScale" priority="1">
      <colorScale>
        <cfvo type="num" val="-0.1"/>
        <cfvo type="num" val="0"/>
        <cfvo type="num" val="0.08"/>
        <color rgb="00D03B3B"/>
        <color rgb="00FAB219"/>
        <color rgb="000CA30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2026-07-03T15:37:32Z</dcterms:created>
  <dcterms:modified xsi:type="dcterms:W3CDTF">2026-07-03T15:37:32Z</dcterms:modified>
</cp:coreProperties>
</file>